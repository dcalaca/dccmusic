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es Velotax\old\dccmusic\"/>
    </mc:Choice>
  </mc:AlternateContent>
  <xr:revisionPtr revIDLastSave="0" documentId="13_ncr:1_{007D1A04-7411-47A4-B8F9-4609AFD6C104}" xr6:coauthVersionLast="47" xr6:coauthVersionMax="47" xr10:uidLastSave="{00000000-0000-0000-0000-000000000000}"/>
  <bookViews>
    <workbookView xWindow="-3645" yWindow="-16320" windowWidth="29040" windowHeight="15720" xr2:uid="{2AA7A5F9-F1CF-413B-B708-D10AEDB255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H4" i="1" s="1"/>
  <c r="G3" i="1"/>
  <c r="H3" i="1" s="1"/>
  <c r="G2" i="1"/>
  <c r="H2" i="1" s="1"/>
  <c r="I4" i="1"/>
  <c r="I3" i="1"/>
  <c r="I2" i="1"/>
  <c r="K2" i="1" l="1"/>
  <c r="K5" i="1" s="1"/>
  <c r="K4" i="1"/>
  <c r="K3" i="1"/>
  <c r="L2" i="1"/>
  <c r="L3" i="1"/>
  <c r="L4" i="1"/>
  <c r="I5" i="1"/>
  <c r="H5" i="1" s="1"/>
  <c r="L5" i="1" l="1"/>
</calcChain>
</file>

<file path=xl/sharedStrings.xml><?xml version="1.0" encoding="utf-8"?>
<sst xmlns="http://schemas.openxmlformats.org/spreadsheetml/2006/main" count="14" uniqueCount="13">
  <si>
    <t>Plano</t>
  </si>
  <si>
    <t>Valor Mensal</t>
  </si>
  <si>
    <t>Músicas/mês</t>
  </si>
  <si>
    <t>Valor por música</t>
  </si>
  <si>
    <t>Custo estimado por música</t>
  </si>
  <si>
    <t>Lucro total estimado (uso máximo)</t>
  </si>
  <si>
    <t>Studio Start</t>
  </si>
  <si>
    <t>Studio Pro</t>
  </si>
  <si>
    <t>Studio Elite</t>
  </si>
  <si>
    <t>Shared</t>
  </si>
  <si>
    <t>Lucro Total</t>
  </si>
  <si>
    <t>Comissão (20%)</t>
  </si>
  <si>
    <t>Lucro 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</si>
</sst>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1656-07D0-46A1-9F1A-2E0C71830E74}">
  <dimension ref="A1:L5"/>
  <sheetViews>
    <sheetView showGridLines="0" tabSelected="1" workbookViewId="0">
      <selection activeCell="F2" sqref="F2"/>
    </sheetView>
  </sheetViews>
  <sheetFormatPr defaultColWidth="107.140625" defaultRowHeight="15" x14ac:dyDescent="0.25"/>
  <cols>
    <col min="1" max="1" width="16.28515625" customWidth="1"/>
    <col min="2" max="8" width="13" style="1" customWidth="1"/>
    <col min="9" max="9" width="10" style="4" customWidth="1"/>
    <col min="10" max="10" width="13" style="4" customWidth="1"/>
    <col min="11" max="11" width="15.42578125" customWidth="1"/>
    <col min="12" max="12" width="15.5703125" style="4" customWidth="1"/>
  </cols>
  <sheetData>
    <row r="1" spans="1:12" s="2" customFormat="1" ht="6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11</v>
      </c>
      <c r="H1" s="12" t="s">
        <v>12</v>
      </c>
      <c r="I1" s="13">
        <v>100000</v>
      </c>
      <c r="J1" s="12" t="s">
        <v>9</v>
      </c>
      <c r="K1" s="12" t="s">
        <v>11</v>
      </c>
      <c r="L1" s="12" t="s">
        <v>10</v>
      </c>
    </row>
    <row r="2" spans="1:12" x14ac:dyDescent="0.25">
      <c r="A2" s="5" t="s">
        <v>6</v>
      </c>
      <c r="B2" s="6">
        <v>19.899999999999999</v>
      </c>
      <c r="C2" s="7">
        <v>13</v>
      </c>
      <c r="D2" s="6">
        <v>1.53</v>
      </c>
      <c r="E2" s="6">
        <v>0.6</v>
      </c>
      <c r="F2" s="6">
        <v>12.09</v>
      </c>
      <c r="G2" s="6">
        <f>F2*20%</f>
        <v>2.4180000000000001</v>
      </c>
      <c r="H2" s="6">
        <f>+F2-G2</f>
        <v>9.6720000000000006</v>
      </c>
      <c r="I2" s="8">
        <f>+$I$1*J2</f>
        <v>50000</v>
      </c>
      <c r="J2" s="9">
        <v>0.5</v>
      </c>
      <c r="K2" s="10">
        <f>+I2*G2</f>
        <v>120900.00000000001</v>
      </c>
      <c r="L2" s="10">
        <f>+H2*I2</f>
        <v>483600.00000000006</v>
      </c>
    </row>
    <row r="3" spans="1:12" x14ac:dyDescent="0.25">
      <c r="A3" s="5" t="s">
        <v>7</v>
      </c>
      <c r="B3" s="6">
        <v>29.9</v>
      </c>
      <c r="C3" s="7">
        <v>23</v>
      </c>
      <c r="D3" s="6">
        <v>1.3</v>
      </c>
      <c r="E3" s="6">
        <v>0.6</v>
      </c>
      <c r="F3" s="6">
        <v>16.100000000000001</v>
      </c>
      <c r="G3" s="6">
        <f>F3*20%</f>
        <v>3.2200000000000006</v>
      </c>
      <c r="H3" s="6">
        <f t="shared" ref="H3:H4" si="0">+F3-G3</f>
        <v>12.88</v>
      </c>
      <c r="I3" s="8">
        <f>+$I$1*J3</f>
        <v>30000</v>
      </c>
      <c r="J3" s="11">
        <v>0.3</v>
      </c>
      <c r="K3" s="10">
        <f>+I3*G3</f>
        <v>96600.000000000015</v>
      </c>
      <c r="L3" s="10">
        <f t="shared" ref="L3:L4" si="1">+H3*I3</f>
        <v>386400</v>
      </c>
    </row>
    <row r="4" spans="1:12" x14ac:dyDescent="0.25">
      <c r="A4" s="5" t="s">
        <v>8</v>
      </c>
      <c r="B4" s="6">
        <v>59.9</v>
      </c>
      <c r="C4" s="7">
        <v>54</v>
      </c>
      <c r="D4" s="6">
        <v>1.1100000000000001</v>
      </c>
      <c r="E4" s="6">
        <v>0.6</v>
      </c>
      <c r="F4" s="6">
        <v>27.54</v>
      </c>
      <c r="G4" s="6">
        <f>F4*20%</f>
        <v>5.508</v>
      </c>
      <c r="H4" s="6">
        <f t="shared" si="0"/>
        <v>22.032</v>
      </c>
      <c r="I4" s="8">
        <f>+$I$1*J4</f>
        <v>20000</v>
      </c>
      <c r="J4" s="11">
        <v>0.2</v>
      </c>
      <c r="K4" s="10">
        <f>+I4*G4</f>
        <v>110160</v>
      </c>
      <c r="L4" s="10">
        <f t="shared" si="1"/>
        <v>440640</v>
      </c>
    </row>
    <row r="5" spans="1:12" x14ac:dyDescent="0.25">
      <c r="D5" s="3"/>
      <c r="G5" s="14"/>
      <c r="H5" s="3">
        <f>+I5*G5</f>
        <v>0</v>
      </c>
      <c r="I5" s="15">
        <f>SUM(I2:I4)</f>
        <v>100000</v>
      </c>
      <c r="K5" s="14">
        <f>SUM(K2:K4)</f>
        <v>327660</v>
      </c>
      <c r="L5" s="14">
        <f>SUM(L2:L4)</f>
        <v>1310640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Velotax Serviços</dc:creator>
  <cp:lastModifiedBy>Velotax Serviços</cp:lastModifiedBy>
  <dcterms:created xsi:type="dcterms:W3CDTF">2026-05-20T18:21:21Z</dcterms:created>
  <dcterms:modified xsi:type="dcterms:W3CDTF">2026-05-21T11:36:29Z</dcterms:modified>
</cp:coreProperties>
</file>